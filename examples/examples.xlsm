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 defaultThemeVersion="124226"/>
  <bookViews>
    <workbookView xWindow="240" yWindow="105" windowWidth="14805" windowHeight="8010" activeTab="5"/>
  </bookViews>
  <sheets>
    <sheet name="reshape" sheetId="5" r:id="rId1"/>
    <sheet name="forecast_error" sheetId="6" r:id="rId2"/>
    <sheet name="GoldfildQand" sheetId="7" r:id="rId3"/>
    <sheet name="forecast_error_multiple" sheetId="8" r:id="rId4"/>
    <sheet name="aurocorrelation" sheetId="10" r:id="rId5"/>
    <sheet name="q stat" sheetId="9" r:id="rId6"/>
  </sheets>
  <functionGroups builtInGroupCount="18"/>
  <calcPr calcId="152511"/>
</workbook>
</file>

<file path=xl/calcChain.xml><?xml version="1.0" encoding="utf-8"?>
<calcChain xmlns="http://schemas.openxmlformats.org/spreadsheetml/2006/main">
  <c r="H6" i="9" l="1"/>
  <c r="L2" i="7" l="1"/>
  <c r="K2" i="7"/>
  <c r="J25" i="7"/>
  <c r="J2" i="7"/>
  <c r="I25" i="7" a="1"/>
  <c r="I25" i="7" s="1"/>
  <c r="I2" i="7" a="1"/>
  <c r="I2" i="7" s="1"/>
  <c r="H25" i="7" a="1"/>
  <c r="H25" i="7" s="1"/>
  <c r="H2" i="7" a="1"/>
  <c r="H2" i="7" s="1"/>
  <c r="G25" i="7" a="1"/>
  <c r="G25" i="7" s="1"/>
  <c r="G2" i="7" a="1"/>
  <c r="G2" i="7" s="1"/>
  <c r="D7" i="7" a="1"/>
  <c r="D7" i="7" s="1"/>
  <c r="D4" i="7" a="1"/>
  <c r="D4" i="7" s="1"/>
  <c r="F3" i="10"/>
  <c r="J3" i="10"/>
  <c r="G3" i="10"/>
  <c r="K3" i="10"/>
  <c r="H3" i="10"/>
  <c r="I3" i="10"/>
  <c r="E3" i="10"/>
  <c r="E2" i="8" a="1"/>
  <c r="H5" i="6"/>
  <c r="K3" i="9"/>
  <c r="I3" i="9"/>
  <c r="L3" i="9"/>
  <c r="G3" i="9"/>
  <c r="F3" i="9"/>
  <c r="H3" i="9"/>
  <c r="M3" i="9"/>
  <c r="J3" i="9"/>
  <c r="D3" i="9"/>
  <c r="E3" i="9"/>
  <c r="K6" i="9"/>
  <c r="I6" i="9"/>
  <c r="L6" i="9"/>
  <c r="G6" i="9"/>
  <c r="F6" i="9"/>
  <c r="M6" i="9"/>
  <c r="J6" i="9"/>
  <c r="D6" i="9"/>
  <c r="E6" i="9"/>
  <c r="E4" i="9" l="1"/>
  <c r="D4" i="9"/>
  <c r="J4" i="9"/>
  <c r="M4" i="9"/>
  <c r="H4" i="9"/>
  <c r="F4" i="9"/>
  <c r="G4" i="9"/>
  <c r="L4" i="9"/>
  <c r="I4" i="9"/>
  <c r="K4" i="9"/>
  <c r="F2" i="8"/>
  <c r="E3" i="8"/>
  <c r="F3" i="8"/>
  <c r="E2" i="8"/>
  <c r="I35" i="7"/>
  <c r="I31" i="7"/>
  <c r="I27" i="7"/>
  <c r="I36" i="7"/>
  <c r="I32" i="7"/>
  <c r="I28" i="7"/>
  <c r="I34" i="7"/>
  <c r="I30" i="7"/>
  <c r="I26" i="7"/>
  <c r="I33" i="7"/>
  <c r="I29" i="7"/>
  <c r="I12" i="7"/>
  <c r="I8" i="7"/>
  <c r="I4" i="7"/>
  <c r="I13" i="7"/>
  <c r="I9" i="7"/>
  <c r="I5" i="7"/>
  <c r="I11" i="7"/>
  <c r="I7" i="7"/>
  <c r="I3" i="7"/>
  <c r="I10" i="7"/>
  <c r="I6" i="7"/>
  <c r="H35" i="7"/>
  <c r="H31" i="7"/>
  <c r="H27" i="7"/>
  <c r="H36" i="7"/>
  <c r="H32" i="7"/>
  <c r="H28" i="7"/>
  <c r="H34" i="7"/>
  <c r="H30" i="7"/>
  <c r="H26" i="7"/>
  <c r="H33" i="7"/>
  <c r="H29" i="7"/>
  <c r="H12" i="7"/>
  <c r="H4" i="7"/>
  <c r="H13" i="7"/>
  <c r="H9" i="7"/>
  <c r="H5" i="7"/>
  <c r="H8" i="7"/>
  <c r="H11" i="7"/>
  <c r="H7" i="7"/>
  <c r="H3" i="7"/>
  <c r="H10" i="7"/>
  <c r="H6" i="7"/>
  <c r="G27" i="7"/>
  <c r="G36" i="7"/>
  <c r="G28" i="7"/>
  <c r="G35" i="7"/>
  <c r="G34" i="7"/>
  <c r="G30" i="7"/>
  <c r="G26" i="7"/>
  <c r="G32" i="7"/>
  <c r="G31" i="7"/>
  <c r="G33" i="7"/>
  <c r="G29" i="7"/>
  <c r="G12" i="7"/>
  <c r="G8" i="7"/>
  <c r="G4" i="7"/>
  <c r="G13" i="7"/>
  <c r="G9" i="7"/>
  <c r="G5" i="7"/>
  <c r="G11" i="7"/>
  <c r="G7" i="7"/>
  <c r="G3" i="7"/>
  <c r="G10" i="7"/>
  <c r="G6" i="7"/>
  <c r="F7" i="7"/>
  <c r="E7" i="7"/>
  <c r="F4" i="7"/>
  <c r="E4" i="7"/>
  <c r="G17" i="5" a="1"/>
  <c r="E6" i="5" a="1"/>
  <c r="E5" i="9" l="1"/>
  <c r="F5" i="9"/>
  <c r="J5" i="9"/>
  <c r="K5" i="9"/>
  <c r="D5" i="9"/>
  <c r="L5" i="9"/>
  <c r="M5" i="9"/>
  <c r="G5" i="9"/>
  <c r="H5" i="9"/>
  <c r="I5" i="9"/>
  <c r="H7" i="5"/>
  <c r="I10" i="5"/>
  <c r="I9" i="5"/>
  <c r="H8" i="5"/>
  <c r="E8" i="5"/>
  <c r="F8" i="5"/>
  <c r="F9" i="5"/>
  <c r="E7" i="5"/>
  <c r="G10" i="5"/>
  <c r="I6" i="5"/>
  <c r="G7" i="5"/>
  <c r="G6" i="5"/>
  <c r="G8" i="5"/>
  <c r="F7" i="5"/>
  <c r="F6" i="5"/>
  <c r="G9" i="5"/>
  <c r="I8" i="5"/>
  <c r="E9" i="5"/>
  <c r="E6" i="5"/>
  <c r="H9" i="5"/>
  <c r="F10" i="5"/>
  <c r="H10" i="5"/>
  <c r="E10" i="5"/>
  <c r="I7" i="5"/>
  <c r="H6" i="5"/>
  <c r="G18" i="5"/>
  <c r="G23" i="5"/>
  <c r="G21" i="5"/>
  <c r="G24" i="5"/>
  <c r="G19" i="5"/>
  <c r="G22" i="5"/>
  <c r="G20" i="5"/>
  <c r="G25" i="5"/>
  <c r="G26" i="5"/>
  <c r="G17" i="5"/>
</calcChain>
</file>

<file path=xl/sharedStrings.xml><?xml version="1.0" encoding="utf-8"?>
<sst xmlns="http://schemas.openxmlformats.org/spreadsheetml/2006/main" count="200" uniqueCount="170">
  <si>
    <t>hello</t>
  </si>
  <si>
    <t>dsf</t>
  </si>
  <si>
    <t>x</t>
  </si>
  <si>
    <t>y</t>
  </si>
  <si>
    <t>ВЫВОД ИТОГОВ</t>
  </si>
  <si>
    <t>Регрессионная статистика</t>
  </si>
  <si>
    <t>Множественный R</t>
  </si>
  <si>
    <t>R-квадрат</t>
  </si>
  <si>
    <t>Нормированный R-квадрат</t>
  </si>
  <si>
    <t>Стандартная ошибка</t>
  </si>
  <si>
    <t>Наблюдения</t>
  </si>
  <si>
    <t>Дисперсионный анализ</t>
  </si>
  <si>
    <t>Регрессия</t>
  </si>
  <si>
    <t>Остаток</t>
  </si>
  <si>
    <t>Итого</t>
  </si>
  <si>
    <t>Y-пересечение</t>
  </si>
  <si>
    <t>df</t>
  </si>
  <si>
    <t>SS</t>
  </si>
  <si>
    <t>MS</t>
  </si>
  <si>
    <t>F</t>
  </si>
  <si>
    <t>Значимость F</t>
  </si>
  <si>
    <t>Коэффициенты</t>
  </si>
  <si>
    <t>t-статистика</t>
  </si>
  <si>
    <t>P-Значение</t>
  </si>
  <si>
    <t>Нижние 95%</t>
  </si>
  <si>
    <t>Верхние 95%</t>
  </si>
  <si>
    <t>Нижние 95,0%</t>
  </si>
  <si>
    <t>Верхние 95,0%</t>
  </si>
  <si>
    <t>Переменная X 1</t>
  </si>
  <si>
    <r>
      <t>x</t>
    </r>
    <r>
      <rPr>
        <vertAlign val="subscript"/>
        <sz val="13"/>
        <color theme="1"/>
        <rFont val="Times New Roman"/>
        <family val="1"/>
        <charset val="204"/>
      </rPr>
      <t>2</t>
    </r>
  </si>
  <si>
    <r>
      <t>x</t>
    </r>
    <r>
      <rPr>
        <vertAlign val="subscript"/>
        <sz val="13"/>
        <color theme="1"/>
        <rFont val="Times New Roman"/>
        <family val="1"/>
        <charset val="204"/>
      </rPr>
      <t>3</t>
    </r>
  </si>
  <si>
    <t>y^</t>
  </si>
  <si>
    <t>e</t>
  </si>
  <si>
    <t>e^2</t>
  </si>
  <si>
    <t>S</t>
  </si>
  <si>
    <t>Fkr</t>
  </si>
  <si>
    <t>коэффициенты первой группы</t>
  </si>
  <si>
    <t>b 1</t>
  </si>
  <si>
    <t>b 2</t>
  </si>
  <si>
    <t>a</t>
  </si>
  <si>
    <t>коэффициенты третьей группы</t>
  </si>
  <si>
    <t>01.2011</t>
  </si>
  <si>
    <t>02.2011</t>
  </si>
  <si>
    <t>03.2011</t>
  </si>
  <si>
    <t>04.2011</t>
  </si>
  <si>
    <t>05.2011</t>
  </si>
  <si>
    <t>06.2011</t>
  </si>
  <si>
    <t>07.2011</t>
  </si>
  <si>
    <t>08.2011</t>
  </si>
  <si>
    <t>09.2011</t>
  </si>
  <si>
    <t>10.2011</t>
  </si>
  <si>
    <t>11.2011</t>
  </si>
  <si>
    <t>12.2011</t>
  </si>
  <si>
    <t>01.2012</t>
  </si>
  <si>
    <t>02.2012</t>
  </si>
  <si>
    <t>03.2012</t>
  </si>
  <si>
    <t>04.2012</t>
  </si>
  <si>
    <t>05.2012</t>
  </si>
  <si>
    <t>06.2012</t>
  </si>
  <si>
    <t>07.2012</t>
  </si>
  <si>
    <t>08.2012</t>
  </si>
  <si>
    <t>09.2012</t>
  </si>
  <si>
    <t>10.2012</t>
  </si>
  <si>
    <t>11.2012</t>
  </si>
  <si>
    <t>12.2012</t>
  </si>
  <si>
    <t>01.2013</t>
  </si>
  <si>
    <t>02.2013</t>
  </si>
  <si>
    <t>03.2013</t>
  </si>
  <si>
    <t>04.2013</t>
  </si>
  <si>
    <t>05.2013</t>
  </si>
  <si>
    <t>06.2013</t>
  </si>
  <si>
    <t>07.2013</t>
  </si>
  <si>
    <t>08.2013</t>
  </si>
  <si>
    <t>09.2013</t>
  </si>
  <si>
    <t>10.2013</t>
  </si>
  <si>
    <t>11.2013</t>
  </si>
  <si>
    <t>12.2013</t>
  </si>
  <si>
    <t>01.2014</t>
  </si>
  <si>
    <t>02.2014</t>
  </si>
  <si>
    <t>03.2014</t>
  </si>
  <si>
    <t>04.2014</t>
  </si>
  <si>
    <t>05.2014</t>
  </si>
  <si>
    <t>06.2014</t>
  </si>
  <si>
    <t>07.2014</t>
  </si>
  <si>
    <t>08.2014</t>
  </si>
  <si>
    <t>09.2014</t>
  </si>
  <si>
    <t>10.2014</t>
  </si>
  <si>
    <t>11.2014</t>
  </si>
  <si>
    <t>12.2014</t>
  </si>
  <si>
    <t>01.2015</t>
  </si>
  <si>
    <t>02.2015</t>
  </si>
  <si>
    <t>03.2015</t>
  </si>
  <si>
    <t>04.2015</t>
  </si>
  <si>
    <t>05.2015</t>
  </si>
  <si>
    <t>06.2015</t>
  </si>
  <si>
    <t>07.2015</t>
  </si>
  <si>
    <t>08.2015</t>
  </si>
  <si>
    <t>09.2015</t>
  </si>
  <si>
    <t>10.2015</t>
  </si>
  <si>
    <t>11.2015</t>
  </si>
  <si>
    <t>12.2015</t>
  </si>
  <si>
    <t>01.2016</t>
  </si>
  <si>
    <t>02.2016</t>
  </si>
  <si>
    <t>03.2016</t>
  </si>
  <si>
    <t>04.2016</t>
  </si>
  <si>
    <t>05.2016</t>
  </si>
  <si>
    <t>06.2016</t>
  </si>
  <si>
    <t>07.2016</t>
  </si>
  <si>
    <t>08.2016</t>
  </si>
  <si>
    <t>09.2016</t>
  </si>
  <si>
    <t>10.2016</t>
  </si>
  <si>
    <t>11.2016</t>
  </si>
  <si>
    <t>12.2016</t>
  </si>
  <si>
    <t>01.2017</t>
  </si>
  <si>
    <t>02.2017</t>
  </si>
  <si>
    <t>03.2017</t>
  </si>
  <si>
    <t>04.2017</t>
  </si>
  <si>
    <t>05.2017</t>
  </si>
  <si>
    <t>06.2017</t>
  </si>
  <si>
    <t>07.2017</t>
  </si>
  <si>
    <t>08.2017</t>
  </si>
  <si>
    <t>09.2017</t>
  </si>
  <si>
    <t>10.2017</t>
  </si>
  <si>
    <t>11.2017</t>
  </si>
  <si>
    <t>12.2017</t>
  </si>
  <si>
    <t>01.2018</t>
  </si>
  <si>
    <t>02.2018</t>
  </si>
  <si>
    <t>03.2018</t>
  </si>
  <si>
    <t>04.2018</t>
  </si>
  <si>
    <t>05.2018</t>
  </si>
  <si>
    <t>06.2018</t>
  </si>
  <si>
    <t>07.2018</t>
  </si>
  <si>
    <t>08.2018</t>
  </si>
  <si>
    <t>09.2018</t>
  </si>
  <si>
    <t>10.2018</t>
  </si>
  <si>
    <t>11.2018</t>
  </si>
  <si>
    <t>12.2018</t>
  </si>
  <si>
    <t>01.2019</t>
  </si>
  <si>
    <t>02.2019</t>
  </si>
  <si>
    <t>03.2019</t>
  </si>
  <si>
    <t>04.2019</t>
  </si>
  <si>
    <t>05.2019</t>
  </si>
  <si>
    <t>06.2019</t>
  </si>
  <si>
    <t>07.2019</t>
  </si>
  <si>
    <t>08.2019</t>
  </si>
  <si>
    <t>09.2019</t>
  </si>
  <si>
    <t>10.2019</t>
  </si>
  <si>
    <t>11.2019</t>
  </si>
  <si>
    <t>12.2019</t>
  </si>
  <si>
    <t>01.2020</t>
  </si>
  <si>
    <t>02.2020</t>
  </si>
  <si>
    <t>03.2020</t>
  </si>
  <si>
    <t>04.2020</t>
  </si>
  <si>
    <t>05.2020</t>
  </si>
  <si>
    <t>06.2020</t>
  </si>
  <si>
    <t>07.2020</t>
  </si>
  <si>
    <t>08.2020</t>
  </si>
  <si>
    <t>09.2020</t>
  </si>
  <si>
    <t>10.2020</t>
  </si>
  <si>
    <t>11.2020</t>
  </si>
  <si>
    <t>12.2020</t>
  </si>
  <si>
    <t>01.2021</t>
  </si>
  <si>
    <t>02.2021</t>
  </si>
  <si>
    <t>03.2021</t>
  </si>
  <si>
    <t>04.2021</t>
  </si>
  <si>
    <t>Qstat1</t>
  </si>
  <si>
    <t>Qstat2</t>
  </si>
  <si>
    <t>дата</t>
  </si>
  <si>
    <t>t</t>
  </si>
  <si>
    <t>доллар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</si>
</sst>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i/>
      <sz val="13"/>
      <color theme="1"/>
      <name val="Times New Roman"/>
      <family val="1"/>
      <charset val="204"/>
    </font>
    <font>
      <vertAlign val="subscript"/>
      <sz val="13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3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Fill="1" applyBorder="1" applyAlignment="1"/>
    <xf numFmtId="0" fontId="0" fillId="0" borderId="8" xfId="0" applyFill="1" applyBorder="1" applyAlignment="1"/>
    <xf numFmtId="0" fontId="2" fillId="0" borderId="12" xfId="0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Continuous"/>
    </xf>
    <xf numFmtId="0" fontId="3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1"/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Correlogramm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aurocorrelation!$E$3:$K$3</c:f>
              <c:numCache>
                <c:formatCode>General</c:formatCode>
                <c:ptCount val="7"/>
                <c:pt idx="0">
                  <c:v>0.64192863666908861</c:v>
                </c:pt>
                <c:pt idx="1">
                  <c:v>0.44680374387901267</c:v>
                </c:pt>
                <c:pt idx="2">
                  <c:v>0.28593387450835528</c:v>
                </c:pt>
                <c:pt idx="3">
                  <c:v>0.25520684188030512</c:v>
                </c:pt>
                <c:pt idx="4">
                  <c:v>-1.9924356716611451E-2</c:v>
                </c:pt>
                <c:pt idx="5">
                  <c:v>-8.3179386975947928E-2</c:v>
                </c:pt>
                <c:pt idx="6">
                  <c:v>-3.1119806732286073E-3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62812080"/>
        <c:axId val="-162810992"/>
      </c:barChart>
      <c:catAx>
        <c:axId val="-1628120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62810992"/>
        <c:crosses val="autoZero"/>
        <c:auto val="1"/>
        <c:lblAlgn val="ctr"/>
        <c:lblOffset val="100"/>
        <c:noMultiLvlLbl val="0"/>
      </c:catAx>
      <c:valAx>
        <c:axId val="-1628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6281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514350</xdr:colOff>
      <xdr:row>3</xdr:row>
      <xdr:rowOff>119062</xdr:rowOff>
    </xdr:from>
    <xdr:to>
      <xdr:col>11</xdr:col>
      <xdr:colOff>209550</xdr:colOff>
      <xdr:row>18</xdr:row>
      <xdr:rowOff>4762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26"/>
  <sheetViews>
    <sheetView workbookViewId="0">
      <selection activeCell="G22" sqref="G22"/>
    </sheetView>
  </sheetViews>
  <sheetFormatPr defaultRowHeight="15" x14ac:dyDescent="0.25"/>
  <sheetData>
    <row r="1" spans="1:9" x14ac:dyDescent="0.25">
      <c r="A1">
        <v>1</v>
      </c>
    </row>
    <row r="2" spans="1:9" x14ac:dyDescent="0.25">
      <c r="A2">
        <v>2</v>
      </c>
    </row>
    <row r="3" spans="1:9" x14ac:dyDescent="0.25">
      <c r="A3">
        <v>3</v>
      </c>
    </row>
    <row r="4" spans="1:9" x14ac:dyDescent="0.25">
      <c r="A4">
        <v>4</v>
      </c>
    </row>
    <row r="5" spans="1:9" ht="15.75" thickBot="1" x14ac:dyDescent="0.3">
      <c r="A5">
        <v>5</v>
      </c>
    </row>
    <row r="6" spans="1:9" x14ac:dyDescent="0.25">
      <c r="A6">
        <v>6</v>
      </c>
      <c r="E6" s="2">
        <f t="array" ref="E6:I10">reshape(A1:A17,5,5)</f>
        <v>1</v>
      </c>
      <c r="F6" s="4">
        <v>2</v>
      </c>
      <c r="G6" s="4">
        <v>3</v>
      </c>
      <c r="H6" s="4">
        <v>4</v>
      </c>
      <c r="I6" s="5">
        <v>5</v>
      </c>
    </row>
    <row r="7" spans="1:9" x14ac:dyDescent="0.25">
      <c r="A7">
        <v>7</v>
      </c>
      <c r="E7" s="3">
        <v>6</v>
      </c>
      <c r="F7" s="1">
        <v>7</v>
      </c>
      <c r="G7" s="1">
        <v>8</v>
      </c>
      <c r="H7" s="1">
        <v>9</v>
      </c>
      <c r="I7" s="6">
        <v>10</v>
      </c>
    </row>
    <row r="8" spans="1:9" x14ac:dyDescent="0.25">
      <c r="A8">
        <v>8</v>
      </c>
      <c r="E8" s="3">
        <v>11</v>
      </c>
      <c r="F8" s="1">
        <v>12</v>
      </c>
      <c r="G8" s="1">
        <v>13</v>
      </c>
      <c r="H8" s="1">
        <v>14</v>
      </c>
      <c r="I8" s="6">
        <v>15</v>
      </c>
    </row>
    <row r="9" spans="1:9" x14ac:dyDescent="0.25">
      <c r="A9">
        <v>9</v>
      </c>
      <c r="E9" s="3">
        <v>16</v>
      </c>
      <c r="F9" s="1">
        <v>17</v>
      </c>
      <c r="G9" s="1">
        <v>0</v>
      </c>
      <c r="H9" s="1">
        <v>0</v>
      </c>
      <c r="I9" s="6">
        <v>0</v>
      </c>
    </row>
    <row r="10" spans="1:9" ht="15.75" thickBot="1" x14ac:dyDescent="0.3">
      <c r="A10">
        <v>10</v>
      </c>
      <c r="E10" s="7">
        <v>0</v>
      </c>
      <c r="F10" s="8">
        <v>0</v>
      </c>
      <c r="G10" s="8">
        <v>0</v>
      </c>
      <c r="H10" s="8">
        <v>0</v>
      </c>
      <c r="I10" s="9">
        <v>0</v>
      </c>
    </row>
    <row r="11" spans="1:9" x14ac:dyDescent="0.25">
      <c r="A11">
        <v>11</v>
      </c>
    </row>
    <row r="12" spans="1:9" x14ac:dyDescent="0.25">
      <c r="A12">
        <v>12</v>
      </c>
    </row>
    <row r="13" spans="1:9" x14ac:dyDescent="0.25">
      <c r="A13">
        <v>13</v>
      </c>
    </row>
    <row r="14" spans="1:9" x14ac:dyDescent="0.25">
      <c r="A14">
        <v>14</v>
      </c>
    </row>
    <row r="15" spans="1:9" x14ac:dyDescent="0.25">
      <c r="A15">
        <v>15</v>
      </c>
    </row>
    <row r="16" spans="1:9" ht="15.75" thickBot="1" x14ac:dyDescent="0.3">
      <c r="A16">
        <v>16</v>
      </c>
    </row>
    <row r="17" spans="1:7" x14ac:dyDescent="0.25">
      <c r="A17">
        <v>17</v>
      </c>
      <c r="C17">
        <v>1</v>
      </c>
      <c r="D17">
        <v>2</v>
      </c>
      <c r="E17">
        <v>4</v>
      </c>
      <c r="G17" s="10">
        <f t="array" ref="G17:G26">reshape(C17:E19,9,1)</f>
        <v>1</v>
      </c>
    </row>
    <row r="18" spans="1:7" x14ac:dyDescent="0.25">
      <c r="D18">
        <v>2</v>
      </c>
      <c r="E18" t="s">
        <v>0</v>
      </c>
      <c r="G18" s="11">
        <v>2</v>
      </c>
    </row>
    <row r="19" spans="1:7" x14ac:dyDescent="0.25">
      <c r="C19" t="s">
        <v>1</v>
      </c>
      <c r="D19">
        <v>3</v>
      </c>
      <c r="E19">
        <v>3</v>
      </c>
      <c r="G19" s="11">
        <v>4</v>
      </c>
    </row>
    <row r="20" spans="1:7" x14ac:dyDescent="0.25">
      <c r="G20" s="11">
        <v>0</v>
      </c>
    </row>
    <row r="21" spans="1:7" x14ac:dyDescent="0.25">
      <c r="G21" s="11">
        <v>2</v>
      </c>
    </row>
    <row r="22" spans="1:7" x14ac:dyDescent="0.25">
      <c r="G22" s="11" t="str">
        <v>hello</v>
      </c>
    </row>
    <row r="23" spans="1:7" x14ac:dyDescent="0.25">
      <c r="G23" s="11" t="str">
        <v>dsf</v>
      </c>
    </row>
    <row r="24" spans="1:7" x14ac:dyDescent="0.25">
      <c r="G24" s="11">
        <v>3</v>
      </c>
    </row>
    <row r="25" spans="1:7" x14ac:dyDescent="0.25">
      <c r="G25" s="11">
        <v>3</v>
      </c>
    </row>
    <row r="26" spans="1:7" ht="15.75" thickBot="1" x14ac:dyDescent="0.3">
      <c r="G26" s="1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L19"/>
  <sheetViews>
    <sheetView workbookViewId="0">
      <selection activeCell="F28" sqref="F28"/>
    </sheetView>
  </sheetViews>
  <sheetFormatPr defaultRowHeight="15" x14ac:dyDescent="0.25"/>
  <sheetData>
    <row r="1" spans="2:9" x14ac:dyDescent="0.25">
      <c r="B1" t="s">
        <v>2</v>
      </c>
      <c r="C1" t="s">
        <v>3</v>
      </c>
    </row>
    <row r="2" spans="2:9" x14ac:dyDescent="0.25">
      <c r="B2">
        <v>1</v>
      </c>
      <c r="C2">
        <v>5</v>
      </c>
      <c r="D2" t="s">
        <v>4</v>
      </c>
    </row>
    <row r="3" spans="2:9" ht="15.75" thickBot="1" x14ac:dyDescent="0.3">
      <c r="B3">
        <v>2</v>
      </c>
      <c r="C3">
        <v>6</v>
      </c>
    </row>
    <row r="4" spans="2:9" x14ac:dyDescent="0.25">
      <c r="B4">
        <v>4</v>
      </c>
      <c r="C4">
        <v>15</v>
      </c>
      <c r="D4" s="16" t="s">
        <v>5</v>
      </c>
      <c r="E4" s="16"/>
    </row>
    <row r="5" spans="2:9" x14ac:dyDescent="0.25">
      <c r="B5">
        <v>3</v>
      </c>
      <c r="C5">
        <v>9</v>
      </c>
      <c r="D5" s="13" t="s">
        <v>6</v>
      </c>
      <c r="E5" s="13">
        <v>0.94685445193910533</v>
      </c>
      <c r="H5">
        <f>forecast_error(7,B2:B8,E8)</f>
        <v>2.8089131483177336</v>
      </c>
    </row>
    <row r="6" spans="2:9" x14ac:dyDescent="0.25">
      <c r="B6">
        <v>5</v>
      </c>
      <c r="C6">
        <v>17</v>
      </c>
      <c r="D6" s="13" t="s">
        <v>7</v>
      </c>
      <c r="E6" s="13">
        <v>0.89653335315690352</v>
      </c>
    </row>
    <row r="7" spans="2:9" x14ac:dyDescent="0.25">
      <c r="B7">
        <v>3</v>
      </c>
      <c r="C7">
        <v>12</v>
      </c>
      <c r="D7" s="13" t="s">
        <v>8</v>
      </c>
      <c r="E7" s="13">
        <v>0.87584002378828418</v>
      </c>
    </row>
    <row r="8" spans="2:9" x14ac:dyDescent="0.25">
      <c r="B8">
        <v>4</v>
      </c>
      <c r="C8">
        <v>17</v>
      </c>
      <c r="D8" s="13" t="s">
        <v>9</v>
      </c>
      <c r="E8" s="13">
        <v>1.7718559998517165</v>
      </c>
    </row>
    <row r="9" spans="2:9" ht="15.75" thickBot="1" x14ac:dyDescent="0.3">
      <c r="D9" s="14" t="s">
        <v>10</v>
      </c>
      <c r="E9" s="14">
        <v>7</v>
      </c>
    </row>
    <row r="11" spans="2:9" ht="15.75" thickBot="1" x14ac:dyDescent="0.3">
      <c r="D11" t="s">
        <v>11</v>
      </c>
    </row>
    <row r="12" spans="2:9" x14ac:dyDescent="0.25">
      <c r="D12" s="15"/>
      <c r="E12" s="15" t="s">
        <v>16</v>
      </c>
      <c r="F12" s="15" t="s">
        <v>17</v>
      </c>
      <c r="G12" s="15" t="s">
        <v>18</v>
      </c>
      <c r="H12" s="15" t="s">
        <v>19</v>
      </c>
      <c r="I12" s="15" t="s">
        <v>20</v>
      </c>
    </row>
    <row r="13" spans="2:9" x14ac:dyDescent="0.25">
      <c r="D13" s="13" t="s">
        <v>12</v>
      </c>
      <c r="E13" s="13">
        <v>1</v>
      </c>
      <c r="F13" s="13">
        <v>136.01691729323309</v>
      </c>
      <c r="G13" s="13">
        <v>136.01691729323309</v>
      </c>
      <c r="H13" s="13">
        <v>43.324751526763272</v>
      </c>
      <c r="I13" s="13">
        <v>1.2151864141245927E-3</v>
      </c>
    </row>
    <row r="14" spans="2:9" x14ac:dyDescent="0.25">
      <c r="D14" s="13" t="s">
        <v>13</v>
      </c>
      <c r="E14" s="13">
        <v>5</v>
      </c>
      <c r="F14" s="13">
        <v>15.697368421052628</v>
      </c>
      <c r="G14" s="13">
        <v>3.1394736842105258</v>
      </c>
      <c r="H14" s="13"/>
      <c r="I14" s="13"/>
    </row>
    <row r="15" spans="2:9" ht="15.75" thickBot="1" x14ac:dyDescent="0.3">
      <c r="D15" s="14" t="s">
        <v>14</v>
      </c>
      <c r="E15" s="14">
        <v>6</v>
      </c>
      <c r="F15" s="14">
        <v>151.71428571428572</v>
      </c>
      <c r="G15" s="14"/>
      <c r="H15" s="14"/>
      <c r="I15" s="14"/>
    </row>
    <row r="16" spans="2:9" ht="15.75" thickBot="1" x14ac:dyDescent="0.3"/>
    <row r="17" spans="4:12" x14ac:dyDescent="0.25">
      <c r="D17" s="15"/>
      <c r="E17" s="15" t="s">
        <v>21</v>
      </c>
      <c r="F17" s="15" t="s">
        <v>9</v>
      </c>
      <c r="G17" s="15" t="s">
        <v>22</v>
      </c>
      <c r="H17" s="15" t="s">
        <v>23</v>
      </c>
      <c r="I17" s="15" t="s">
        <v>24</v>
      </c>
      <c r="J17" s="15" t="s">
        <v>25</v>
      </c>
      <c r="K17" s="15" t="s">
        <v>26</v>
      </c>
      <c r="L17" s="15" t="s">
        <v>27</v>
      </c>
    </row>
    <row r="18" spans="4:12" x14ac:dyDescent="0.25">
      <c r="D18" s="13" t="s">
        <v>15</v>
      </c>
      <c r="E18" s="13">
        <v>0.44736842105263364</v>
      </c>
      <c r="F18" s="13">
        <v>1.817885898860057</v>
      </c>
      <c r="G18" s="13">
        <v>0.24609268454811453</v>
      </c>
      <c r="H18" s="13">
        <v>0.81539374448173296</v>
      </c>
      <c r="I18" s="13">
        <v>-4.2256560498164246</v>
      </c>
      <c r="J18" s="13">
        <v>5.1203928919216919</v>
      </c>
      <c r="K18" s="13">
        <v>-4.2256560498164246</v>
      </c>
      <c r="L18" s="13">
        <v>5.1203928919216919</v>
      </c>
    </row>
    <row r="19" spans="4:12" ht="15.75" thickBot="1" x14ac:dyDescent="0.3">
      <c r="D19" s="14" t="s">
        <v>28</v>
      </c>
      <c r="E19" s="14">
        <v>3.5394736842105257</v>
      </c>
      <c r="F19" s="14">
        <v>0.53773790071139282</v>
      </c>
      <c r="G19" s="14">
        <v>6.5821540187664445</v>
      </c>
      <c r="H19" s="14">
        <v>1.2151864141245936E-3</v>
      </c>
      <c r="I19" s="14">
        <v>2.157174404308615</v>
      </c>
      <c r="J19" s="14">
        <v>4.9217729641124368</v>
      </c>
      <c r="K19" s="14">
        <v>2.157174404308615</v>
      </c>
      <c r="L19" s="14">
        <v>4.9217729641124368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L36"/>
  <sheetViews>
    <sheetView workbookViewId="0">
      <selection activeCell="F10" sqref="F10"/>
    </sheetView>
  </sheetViews>
  <sheetFormatPr defaultRowHeight="15" x14ac:dyDescent="0.25"/>
  <cols>
    <col min="12" max="12" width="12" bestFit="1" customWidth="1"/>
  </cols>
  <sheetData>
    <row r="1" spans="1:12" ht="20.25" thickBot="1" x14ac:dyDescent="0.3">
      <c r="A1" s="17" t="s">
        <v>3</v>
      </c>
      <c r="B1" s="17" t="s">
        <v>29</v>
      </c>
      <c r="C1" s="17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19</v>
      </c>
      <c r="L1" t="s">
        <v>35</v>
      </c>
    </row>
    <row r="2" spans="1:12" ht="17.25" thickBot="1" x14ac:dyDescent="0.3">
      <c r="A2" s="18">
        <v>620</v>
      </c>
      <c r="B2" s="18">
        <v>7</v>
      </c>
      <c r="C2" s="18">
        <v>0.8</v>
      </c>
      <c r="D2" t="s">
        <v>36</v>
      </c>
      <c r="G2">
        <f t="array" ref="G2:G13">TRANSPOSE(MMULT($D$4:$E$4,TRANSPOSE($B$2:$C$13))+$F$4)</f>
        <v>-931.62307692307718</v>
      </c>
      <c r="H2">
        <f t="array" ref="H2:H13">$A$2:$A$13-$G$2:$G$13</f>
        <v>1551.6230769230772</v>
      </c>
      <c r="I2">
        <f t="array" ref="I2:I13">$H$2:$H$13^2</f>
        <v>2407534.1728402376</v>
      </c>
      <c r="J2">
        <f>SUM($I$2:$I$13)</f>
        <v>15887690.13281065</v>
      </c>
      <c r="K2">
        <f>IF($J$2&lt;$J$25,$J$25/$J$2,$J$2/$J$25)</f>
        <v>32.579279893888611</v>
      </c>
      <c r="L2">
        <f>_xlfn.F.DIST.RT($K$2,  9,  9)</f>
        <v>8.2460064361660654E-6</v>
      </c>
    </row>
    <row r="3" spans="1:12" ht="17.25" thickBot="1" x14ac:dyDescent="0.3">
      <c r="A3" s="18">
        <v>684</v>
      </c>
      <c r="B3" s="18">
        <v>7</v>
      </c>
      <c r="C3" s="18">
        <v>0.8</v>
      </c>
      <c r="D3" t="s">
        <v>37</v>
      </c>
      <c r="E3" t="s">
        <v>38</v>
      </c>
      <c r="F3" t="s">
        <v>39</v>
      </c>
      <c r="G3">
        <v>-931.62307692307718</v>
      </c>
      <c r="H3">
        <v>1615.6230769230772</v>
      </c>
      <c r="I3">
        <v>2610237.9266863912</v>
      </c>
    </row>
    <row r="4" spans="1:12" ht="17.25" thickBot="1" x14ac:dyDescent="0.3">
      <c r="A4" s="18">
        <v>605</v>
      </c>
      <c r="B4" s="18">
        <v>7</v>
      </c>
      <c r="C4" s="18">
        <v>1</v>
      </c>
      <c r="D4">
        <f t="array" ref="D4:F4">LINEST($A$2:$A$13,$B$2:$C$13)</f>
        <v>-275.19230769230774</v>
      </c>
      <c r="E4">
        <v>-19.769230769230774</v>
      </c>
      <c r="F4">
        <v>1010.5384615384617</v>
      </c>
      <c r="G4">
        <v>-935.57692307692332</v>
      </c>
      <c r="H4">
        <v>1540.5769230769233</v>
      </c>
      <c r="I4">
        <v>2373377.2559171603</v>
      </c>
    </row>
    <row r="5" spans="1:12" ht="17.25" thickBot="1" x14ac:dyDescent="0.3">
      <c r="A5" s="18">
        <v>605</v>
      </c>
      <c r="B5" s="18">
        <v>5</v>
      </c>
      <c r="C5" s="18">
        <v>1</v>
      </c>
      <c r="D5" t="s">
        <v>40</v>
      </c>
      <c r="G5">
        <v>-385.19230769230762</v>
      </c>
      <c r="H5">
        <v>990.19230769230762</v>
      </c>
      <c r="I5">
        <v>980480.80621301767</v>
      </c>
    </row>
    <row r="6" spans="1:12" ht="17.25" thickBot="1" x14ac:dyDescent="0.3">
      <c r="A6" s="18">
        <v>611</v>
      </c>
      <c r="B6" s="18">
        <v>6</v>
      </c>
      <c r="C6" s="18">
        <v>1</v>
      </c>
      <c r="D6" t="s">
        <v>37</v>
      </c>
      <c r="E6" t="s">
        <v>38</v>
      </c>
      <c r="F6" t="s">
        <v>39</v>
      </c>
      <c r="G6">
        <v>-660.38461538461547</v>
      </c>
      <c r="H6">
        <v>1271.3846153846155</v>
      </c>
      <c r="I6">
        <v>1616418.8402366866</v>
      </c>
    </row>
    <row r="7" spans="1:12" ht="17.25" thickBot="1" x14ac:dyDescent="0.3">
      <c r="A7" s="18">
        <v>615</v>
      </c>
      <c r="B7" s="18">
        <v>4.5</v>
      </c>
      <c r="C7" s="18">
        <v>1</v>
      </c>
      <c r="D7">
        <f t="array" ref="D7:F7">LINEST($A$25:$A$36,$B$25:$C$36)</f>
        <v>92.792862684251688</v>
      </c>
      <c r="E7">
        <v>66.669511249030208</v>
      </c>
      <c r="F7">
        <v>317.20170674941801</v>
      </c>
      <c r="G7">
        <v>-247.59615384615381</v>
      </c>
      <c r="H7">
        <v>862.59615384615381</v>
      </c>
      <c r="I7">
        <v>744072.12463017751</v>
      </c>
    </row>
    <row r="8" spans="1:12" ht="17.25" thickBot="1" x14ac:dyDescent="0.3">
      <c r="A8" s="18">
        <v>615</v>
      </c>
      <c r="B8" s="18">
        <v>4.5</v>
      </c>
      <c r="C8" s="18">
        <v>1</v>
      </c>
      <c r="G8">
        <v>-247.59615384615381</v>
      </c>
      <c r="H8">
        <v>862.59615384615381</v>
      </c>
      <c r="I8">
        <v>744072.12463017751</v>
      </c>
    </row>
    <row r="9" spans="1:12" ht="17.25" thickBot="1" x14ac:dyDescent="0.3">
      <c r="A9" s="18">
        <v>627</v>
      </c>
      <c r="B9" s="18">
        <v>4.5</v>
      </c>
      <c r="C9" s="18">
        <v>1</v>
      </c>
      <c r="G9">
        <v>-247.59615384615381</v>
      </c>
      <c r="H9">
        <v>874.59615384615381</v>
      </c>
      <c r="I9">
        <v>764918.43232248514</v>
      </c>
    </row>
    <row r="10" spans="1:12" ht="17.25" thickBot="1" x14ac:dyDescent="0.3">
      <c r="A10" s="18">
        <v>645</v>
      </c>
      <c r="B10" s="18">
        <v>5</v>
      </c>
      <c r="C10" s="18">
        <v>1</v>
      </c>
      <c r="G10">
        <v>-385.19230769230762</v>
      </c>
      <c r="H10">
        <v>1030.1923076923076</v>
      </c>
      <c r="I10">
        <v>1061296.1908284023</v>
      </c>
    </row>
    <row r="11" spans="1:12" ht="17.25" thickBot="1" x14ac:dyDescent="0.3">
      <c r="A11" s="18">
        <v>674</v>
      </c>
      <c r="B11" s="18">
        <v>4.5</v>
      </c>
      <c r="C11" s="18">
        <v>1</v>
      </c>
      <c r="G11">
        <v>-247.59615384615381</v>
      </c>
      <c r="H11">
        <v>921.59615384615381</v>
      </c>
      <c r="I11">
        <v>849339.47078402364</v>
      </c>
    </row>
    <row r="12" spans="1:12" ht="17.25" thickBot="1" x14ac:dyDescent="0.3">
      <c r="A12" s="18">
        <v>674</v>
      </c>
      <c r="B12" s="18">
        <v>4.5</v>
      </c>
      <c r="C12" s="18">
        <v>1</v>
      </c>
      <c r="G12">
        <v>-247.59615384615381</v>
      </c>
      <c r="H12">
        <v>921.59615384615381</v>
      </c>
      <c r="I12">
        <v>849339.47078402364</v>
      </c>
    </row>
    <row r="13" spans="1:12" ht="17.25" thickBot="1" x14ac:dyDescent="0.3">
      <c r="A13" s="18">
        <v>694</v>
      </c>
      <c r="B13" s="18">
        <v>4.5</v>
      </c>
      <c r="C13" s="18">
        <v>1</v>
      </c>
      <c r="G13">
        <v>-247.59615384615381</v>
      </c>
      <c r="H13">
        <v>941.59615384615381</v>
      </c>
      <c r="I13">
        <v>886603.31693786976</v>
      </c>
    </row>
    <row r="14" spans="1:12" ht="17.25" thickBot="1" x14ac:dyDescent="0.3">
      <c r="A14" s="18">
        <v>704</v>
      </c>
      <c r="B14" s="18">
        <v>4.5</v>
      </c>
      <c r="C14" s="18">
        <v>1</v>
      </c>
    </row>
    <row r="15" spans="1:12" ht="17.25" thickBot="1" x14ac:dyDescent="0.3">
      <c r="A15" s="18">
        <v>735</v>
      </c>
      <c r="B15" s="18">
        <v>7</v>
      </c>
      <c r="C15" s="18">
        <v>1</v>
      </c>
    </row>
    <row r="16" spans="1:12" ht="17.25" thickBot="1" x14ac:dyDescent="0.3">
      <c r="A16" s="18">
        <v>830</v>
      </c>
      <c r="B16" s="18">
        <v>8</v>
      </c>
      <c r="C16" s="18">
        <v>1</v>
      </c>
    </row>
    <row r="17" spans="1:10" ht="17.25" thickBot="1" x14ac:dyDescent="0.3">
      <c r="A17" s="18">
        <v>885</v>
      </c>
      <c r="B17" s="18">
        <v>8</v>
      </c>
      <c r="C17" s="18">
        <v>1</v>
      </c>
    </row>
    <row r="18" spans="1:10" ht="17.25" thickBot="1" x14ac:dyDescent="0.3">
      <c r="A18" s="18">
        <v>1061</v>
      </c>
      <c r="B18" s="18">
        <v>8</v>
      </c>
      <c r="C18" s="18">
        <v>1</v>
      </c>
    </row>
    <row r="19" spans="1:10" ht="17.25" thickBot="1" x14ac:dyDescent="0.3">
      <c r="A19" s="18">
        <v>634</v>
      </c>
      <c r="B19" s="18">
        <v>4.5</v>
      </c>
      <c r="C19" s="18">
        <v>1.2</v>
      </c>
    </row>
    <row r="20" spans="1:10" ht="17.25" thickBot="1" x14ac:dyDescent="0.3">
      <c r="A20" s="18">
        <v>660</v>
      </c>
      <c r="B20" s="18">
        <v>4.5</v>
      </c>
      <c r="C20" s="18">
        <v>1.2</v>
      </c>
    </row>
    <row r="21" spans="1:10" ht="17.25" thickBot="1" x14ac:dyDescent="0.3">
      <c r="A21" s="18">
        <v>667</v>
      </c>
      <c r="B21" s="18">
        <v>6</v>
      </c>
      <c r="C21" s="18">
        <v>1.2</v>
      </c>
    </row>
    <row r="22" spans="1:10" ht="17.25" thickBot="1" x14ac:dyDescent="0.3">
      <c r="A22" s="18">
        <v>680</v>
      </c>
      <c r="B22" s="18">
        <v>4.5</v>
      </c>
      <c r="C22" s="18">
        <v>1.2</v>
      </c>
    </row>
    <row r="23" spans="1:10" ht="17.25" thickBot="1" x14ac:dyDescent="0.3">
      <c r="A23" s="18">
        <v>691</v>
      </c>
      <c r="B23" s="18">
        <v>7</v>
      </c>
      <c r="C23" s="18">
        <v>1.2</v>
      </c>
    </row>
    <row r="24" spans="1:10" ht="17.25" thickBot="1" x14ac:dyDescent="0.3">
      <c r="A24" s="18">
        <v>705</v>
      </c>
      <c r="B24" s="18">
        <v>7</v>
      </c>
      <c r="C24" s="18">
        <v>1.2</v>
      </c>
    </row>
    <row r="25" spans="1:10" ht="17.25" thickBot="1" x14ac:dyDescent="0.3">
      <c r="A25" s="18">
        <v>717</v>
      </c>
      <c r="B25" s="18">
        <v>4.5</v>
      </c>
      <c r="C25" s="18">
        <v>1.2</v>
      </c>
      <c r="G25">
        <f t="array" ref="G25:G36">TRANSPOSE(MMULT($D$7:$E$7,TRANSPOSE($B$25:$C$36))+$F$7)</f>
        <v>814.77300232738685</v>
      </c>
      <c r="H25">
        <f t="array" ref="H25:H36">$A$25:$A$36-$G$25:$G$36</f>
        <v>-97.773002327386848</v>
      </c>
      <c r="I25">
        <f t="array" ref="I25:I36">$H$25:$H$36^2</f>
        <v>9559.5599841111944</v>
      </c>
      <c r="J25">
        <f>SUM($I$25:$I$36)</f>
        <v>487662.40949944832</v>
      </c>
    </row>
    <row r="26" spans="1:10" ht="17.25" thickBot="1" x14ac:dyDescent="0.3">
      <c r="A26" s="18">
        <v>724</v>
      </c>
      <c r="B26" s="18">
        <v>7</v>
      </c>
      <c r="C26" s="18">
        <v>1.2</v>
      </c>
      <c r="G26">
        <v>1046.7551590380162</v>
      </c>
      <c r="H26">
        <v>-322.75515903801625</v>
      </c>
      <c r="I26">
        <v>104170.89268565516</v>
      </c>
    </row>
    <row r="27" spans="1:10" ht="17.25" thickBot="1" x14ac:dyDescent="0.3">
      <c r="A27" s="18">
        <v>734</v>
      </c>
      <c r="B27" s="18">
        <v>4.5</v>
      </c>
      <c r="C27" s="18">
        <v>1.2</v>
      </c>
      <c r="G27">
        <v>814.77300232738685</v>
      </c>
      <c r="H27">
        <v>-80.773002327386848</v>
      </c>
      <c r="I27">
        <v>6524.2779049800411</v>
      </c>
    </row>
    <row r="28" spans="1:10" ht="17.25" thickBot="1" x14ac:dyDescent="0.3">
      <c r="A28" s="18">
        <v>859</v>
      </c>
      <c r="B28" s="18">
        <v>8</v>
      </c>
      <c r="C28" s="18">
        <v>1.2</v>
      </c>
      <c r="G28">
        <v>1139.5480217222678</v>
      </c>
      <c r="H28">
        <v>-280.54802172226778</v>
      </c>
      <c r="I28">
        <v>78707.192492278031</v>
      </c>
    </row>
    <row r="29" spans="1:10" ht="17.25" thickBot="1" x14ac:dyDescent="0.3">
      <c r="A29" s="18">
        <v>954</v>
      </c>
      <c r="B29" s="18">
        <v>5</v>
      </c>
      <c r="C29" s="18">
        <v>1.2</v>
      </c>
      <c r="G29">
        <v>861.16943366951273</v>
      </c>
      <c r="H29">
        <v>92.830566330487272</v>
      </c>
      <c r="I29">
        <v>8617.5140452389969</v>
      </c>
    </row>
    <row r="30" spans="1:10" ht="17.25" thickBot="1" x14ac:dyDescent="0.3">
      <c r="A30" s="18">
        <v>968</v>
      </c>
      <c r="B30" s="18">
        <v>8</v>
      </c>
      <c r="C30" s="18">
        <v>1.2</v>
      </c>
      <c r="G30">
        <v>1139.5480217222678</v>
      </c>
      <c r="H30">
        <v>-171.54802172226778</v>
      </c>
      <c r="I30">
        <v>29428.723756823656</v>
      </c>
    </row>
    <row r="31" spans="1:10" ht="17.25" thickBot="1" x14ac:dyDescent="0.3">
      <c r="A31" s="18">
        <v>1044</v>
      </c>
      <c r="B31" s="18">
        <v>8</v>
      </c>
      <c r="C31" s="18">
        <v>1.2</v>
      </c>
      <c r="G31">
        <v>1139.5480217222678</v>
      </c>
      <c r="H31">
        <v>-95.548021722267777</v>
      </c>
      <c r="I31">
        <v>9129.4244550389558</v>
      </c>
    </row>
    <row r="32" spans="1:10" ht="17.25" thickBot="1" x14ac:dyDescent="0.3">
      <c r="A32" s="18">
        <v>690</v>
      </c>
      <c r="B32" s="18">
        <v>7</v>
      </c>
      <c r="C32" s="18">
        <v>1.4</v>
      </c>
      <c r="G32">
        <v>1060.089061287822</v>
      </c>
      <c r="H32">
        <v>-370.08906128782201</v>
      </c>
      <c r="I32">
        <v>136965.91328490127</v>
      </c>
    </row>
    <row r="33" spans="1:9" ht="17.25" thickBot="1" x14ac:dyDescent="0.3">
      <c r="A33" s="18">
        <v>754</v>
      </c>
      <c r="B33" s="18">
        <v>7</v>
      </c>
      <c r="C33" s="18">
        <v>1.4</v>
      </c>
      <c r="G33">
        <v>1060.089061287822</v>
      </c>
      <c r="H33">
        <v>-306.08906128782201</v>
      </c>
      <c r="I33">
        <v>93690.513440060051</v>
      </c>
    </row>
    <row r="34" spans="1:9" ht="17.25" thickBot="1" x14ac:dyDescent="0.3">
      <c r="A34" s="18">
        <v>1055</v>
      </c>
      <c r="B34" s="18">
        <v>8</v>
      </c>
      <c r="C34" s="18">
        <v>1.4</v>
      </c>
      <c r="G34">
        <v>1152.8819239720738</v>
      </c>
      <c r="H34">
        <v>-97.881923972073764</v>
      </c>
      <c r="I34">
        <v>9580.871040474829</v>
      </c>
    </row>
    <row r="35" spans="1:9" ht="17.25" thickBot="1" x14ac:dyDescent="0.3">
      <c r="A35" s="18">
        <v>1117</v>
      </c>
      <c r="B35" s="18">
        <v>8</v>
      </c>
      <c r="C35" s="18">
        <v>1.4</v>
      </c>
      <c r="G35">
        <v>1152.8819239720738</v>
      </c>
      <c r="H35">
        <v>-35.881923972073764</v>
      </c>
      <c r="I35">
        <v>1287.5124679376818</v>
      </c>
    </row>
    <row r="36" spans="1:9" ht="17.25" thickBot="1" x14ac:dyDescent="0.3">
      <c r="A36" s="18">
        <v>1153</v>
      </c>
      <c r="B36" s="18">
        <v>8</v>
      </c>
      <c r="C36" s="18">
        <v>1.4</v>
      </c>
      <c r="G36">
        <v>1152.8819239720738</v>
      </c>
      <c r="H36">
        <v>0.11807602792623584</v>
      </c>
      <c r="I36">
        <v>1.3941948370837225E-2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2:F3"/>
  <sheetViews>
    <sheetView workbookViewId="0">
      <selection activeCell="E8" sqref="E8"/>
    </sheetView>
  </sheetViews>
  <sheetFormatPr defaultRowHeight="15" x14ac:dyDescent="0.25"/>
  <sheetData>
    <row r="2" spans="2:6" x14ac:dyDescent="0.25">
      <c r="B2">
        <v>1</v>
      </c>
      <c r="C2">
        <v>2</v>
      </c>
      <c r="E2">
        <f t="array" ref="E2:F3">forecast_error_multiple(1,B2:C3,4)</f>
        <v>1</v>
      </c>
      <c r="F2">
        <v>3</v>
      </c>
    </row>
    <row r="3" spans="2:6" x14ac:dyDescent="0.25">
      <c r="B3">
        <v>3</v>
      </c>
      <c r="C3">
        <v>4</v>
      </c>
      <c r="E3">
        <v>2</v>
      </c>
      <c r="F3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K25"/>
  <sheetViews>
    <sheetView workbookViewId="0">
      <selection activeCell="O4" sqref="O4"/>
    </sheetView>
  </sheetViews>
  <sheetFormatPr defaultRowHeight="15" x14ac:dyDescent="0.25"/>
  <sheetData>
    <row r="1" spans="1:11" x14ac:dyDescent="0.25">
      <c r="A1" t="s">
        <v>167</v>
      </c>
      <c r="B1" t="s">
        <v>168</v>
      </c>
      <c r="C1" t="s">
        <v>169</v>
      </c>
    </row>
    <row r="2" spans="1:11" x14ac:dyDescent="0.25">
      <c r="A2" s="20" t="s">
        <v>101</v>
      </c>
      <c r="B2">
        <v>1</v>
      </c>
      <c r="C2" s="20">
        <v>4704</v>
      </c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</row>
    <row r="3" spans="1:11" x14ac:dyDescent="0.25">
      <c r="A3" s="20" t="s">
        <v>102</v>
      </c>
      <c r="B3">
        <v>2</v>
      </c>
      <c r="C3" s="20">
        <v>5116.3999999999996</v>
      </c>
      <c r="E3">
        <f>AUTOCORRELATION($C$2:$C$25,E2)</f>
        <v>0.64192863666908861</v>
      </c>
      <c r="F3">
        <f t="shared" ref="F3:K3" si="0">AUTOCORRELATION($C$2:$C$25,F2)</f>
        <v>0.44680374387901267</v>
      </c>
      <c r="G3">
        <f t="shared" si="0"/>
        <v>0.28593387450835528</v>
      </c>
      <c r="H3">
        <f t="shared" si="0"/>
        <v>0.25520684188030512</v>
      </c>
      <c r="I3">
        <f t="shared" si="0"/>
        <v>-1.9924356716611451E-2</v>
      </c>
      <c r="J3">
        <f t="shared" si="0"/>
        <v>-8.3179386975947928E-2</v>
      </c>
      <c r="K3">
        <f t="shared" si="0"/>
        <v>-3.1119806732286073E-3</v>
      </c>
    </row>
    <row r="4" spans="1:11" x14ac:dyDescent="0.25">
      <c r="A4" s="20" t="s">
        <v>103</v>
      </c>
      <c r="B4">
        <v>3</v>
      </c>
      <c r="C4" s="20">
        <v>5217.5</v>
      </c>
    </row>
    <row r="5" spans="1:11" x14ac:dyDescent="0.25">
      <c r="A5" s="20" t="s">
        <v>104</v>
      </c>
      <c r="B5">
        <v>4</v>
      </c>
      <c r="C5" s="20">
        <v>5146.5</v>
      </c>
    </row>
    <row r="6" spans="1:11" x14ac:dyDescent="0.25">
      <c r="A6" s="20" t="s">
        <v>105</v>
      </c>
      <c r="B6">
        <v>5</v>
      </c>
      <c r="C6" s="20">
        <v>5134.3</v>
      </c>
    </row>
    <row r="7" spans="1:11" x14ac:dyDescent="0.25">
      <c r="A7" s="20" t="s">
        <v>106</v>
      </c>
      <c r="B7">
        <v>6</v>
      </c>
      <c r="C7" s="20">
        <v>4585.1000000000004</v>
      </c>
    </row>
    <row r="8" spans="1:11" x14ac:dyDescent="0.25">
      <c r="A8" s="20" t="s">
        <v>107</v>
      </c>
      <c r="B8">
        <v>7</v>
      </c>
      <c r="C8" s="20">
        <v>5397.8</v>
      </c>
    </row>
    <row r="9" spans="1:11" x14ac:dyDescent="0.25">
      <c r="A9" s="20" t="s">
        <v>108</v>
      </c>
      <c r="B9">
        <v>8</v>
      </c>
      <c r="C9" s="20">
        <v>5328.8</v>
      </c>
    </row>
    <row r="10" spans="1:11" x14ac:dyDescent="0.25">
      <c r="A10" s="20" t="s">
        <v>109</v>
      </c>
      <c r="B10">
        <v>9</v>
      </c>
      <c r="C10" s="20">
        <v>5036</v>
      </c>
    </row>
    <row r="11" spans="1:11" x14ac:dyDescent="0.25">
      <c r="A11" s="20" t="s">
        <v>110</v>
      </c>
      <c r="B11">
        <v>10</v>
      </c>
      <c r="C11" s="20">
        <v>5434.4</v>
      </c>
    </row>
    <row r="12" spans="1:11" x14ac:dyDescent="0.25">
      <c r="A12" s="20" t="s">
        <v>111</v>
      </c>
      <c r="B12">
        <v>11</v>
      </c>
      <c r="C12" s="20">
        <v>6342.3</v>
      </c>
    </row>
    <row r="13" spans="1:11" x14ac:dyDescent="0.25">
      <c r="A13" s="20" t="s">
        <v>112</v>
      </c>
      <c r="B13">
        <v>12</v>
      </c>
      <c r="C13" s="20">
        <v>7032.9</v>
      </c>
    </row>
    <row r="14" spans="1:11" x14ac:dyDescent="0.25">
      <c r="A14" s="20" t="s">
        <v>113</v>
      </c>
      <c r="B14">
        <v>13</v>
      </c>
      <c r="C14" s="20">
        <v>4938.2</v>
      </c>
    </row>
    <row r="15" spans="1:11" x14ac:dyDescent="0.25">
      <c r="A15" s="20" t="s">
        <v>114</v>
      </c>
      <c r="B15">
        <v>14</v>
      </c>
      <c r="C15" s="20">
        <v>6007.7</v>
      </c>
    </row>
    <row r="16" spans="1:11" x14ac:dyDescent="0.25">
      <c r="A16" s="20" t="s">
        <v>115</v>
      </c>
      <c r="B16">
        <v>15</v>
      </c>
      <c r="C16" s="20">
        <v>6349.2</v>
      </c>
    </row>
    <row r="17" spans="1:3" x14ac:dyDescent="0.25">
      <c r="A17" s="20" t="s">
        <v>116</v>
      </c>
      <c r="B17">
        <v>16</v>
      </c>
      <c r="C17" s="20">
        <v>5966.9</v>
      </c>
    </row>
    <row r="18" spans="1:3" x14ac:dyDescent="0.25">
      <c r="A18" s="20" t="s">
        <v>117</v>
      </c>
      <c r="B18">
        <v>17</v>
      </c>
      <c r="C18" s="20">
        <v>4734.8999999999996</v>
      </c>
    </row>
    <row r="19" spans="1:3" x14ac:dyDescent="0.25">
      <c r="A19" s="20" t="s">
        <v>118</v>
      </c>
      <c r="B19">
        <v>18</v>
      </c>
      <c r="C19" s="20">
        <v>5839.6</v>
      </c>
    </row>
    <row r="20" spans="1:3" x14ac:dyDescent="0.25">
      <c r="A20" s="20" t="s">
        <v>119</v>
      </c>
      <c r="B20">
        <v>19</v>
      </c>
      <c r="C20" s="20">
        <v>5998</v>
      </c>
    </row>
    <row r="21" spans="1:3" x14ac:dyDescent="0.25">
      <c r="A21" s="20" t="s">
        <v>120</v>
      </c>
      <c r="B21">
        <v>20</v>
      </c>
      <c r="C21" s="20">
        <v>7250.7</v>
      </c>
    </row>
    <row r="22" spans="1:3" x14ac:dyDescent="0.25">
      <c r="A22" s="20" t="s">
        <v>121</v>
      </c>
      <c r="B22">
        <v>21</v>
      </c>
      <c r="C22" s="20">
        <v>6981.8</v>
      </c>
    </row>
    <row r="23" spans="1:3" x14ac:dyDescent="0.25">
      <c r="A23" s="20" t="s">
        <v>122</v>
      </c>
      <c r="B23">
        <v>22</v>
      </c>
      <c r="C23" s="20">
        <v>8135.7</v>
      </c>
    </row>
    <row r="24" spans="1:3" x14ac:dyDescent="0.25">
      <c r="A24" s="20" t="s">
        <v>123</v>
      </c>
      <c r="B24">
        <v>23</v>
      </c>
      <c r="C24" s="20">
        <v>7984.9</v>
      </c>
    </row>
    <row r="25" spans="1:3" x14ac:dyDescent="0.25">
      <c r="A25" s="20" t="s">
        <v>124</v>
      </c>
      <c r="B25">
        <v>24</v>
      </c>
      <c r="C25" s="20">
        <v>7697.9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M125"/>
  <sheetViews>
    <sheetView tabSelected="1" workbookViewId="0">
      <selection activeCell="H6" sqref="H6"/>
    </sheetView>
  </sheetViews>
  <sheetFormatPr defaultRowHeight="15" x14ac:dyDescent="0.25"/>
  <sheetData>
    <row r="2" spans="1:13" x14ac:dyDescent="0.25">
      <c r="A2" t="s">
        <v>41</v>
      </c>
      <c r="B2" s="19">
        <v>7120.2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</row>
    <row r="3" spans="1:13" x14ac:dyDescent="0.25">
      <c r="A3" t="s">
        <v>42</v>
      </c>
      <c r="B3" s="19">
        <v>8667.1</v>
      </c>
      <c r="D3">
        <f>AUTOCORRELATION($B$2:$B$125,D2)</f>
        <v>0.87800264377198323</v>
      </c>
      <c r="E3">
        <f t="shared" ref="E3:M3" si="0">AUTOCORRELATION($B$2:$B$125,E2)</f>
        <v>0.7803864764892926</v>
      </c>
      <c r="F3">
        <f t="shared" si="0"/>
        <v>0.74721269226688791</v>
      </c>
      <c r="G3">
        <f t="shared" si="0"/>
        <v>0.70869308126986408</v>
      </c>
      <c r="H3">
        <f t="shared" si="0"/>
        <v>0.63595582169024234</v>
      </c>
      <c r="I3">
        <f t="shared" si="0"/>
        <v>0.59140029417709283</v>
      </c>
      <c r="J3">
        <f t="shared" si="0"/>
        <v>0.55336649771119439</v>
      </c>
      <c r="K3">
        <f t="shared" si="0"/>
        <v>0.52927924320854858</v>
      </c>
      <c r="L3">
        <f t="shared" si="0"/>
        <v>0.511397120253685</v>
      </c>
      <c r="M3">
        <f t="shared" si="0"/>
        <v>0.46957208719495036</v>
      </c>
    </row>
    <row r="4" spans="1:13" x14ac:dyDescent="0.25">
      <c r="A4" t="s">
        <v>43</v>
      </c>
      <c r="B4" s="19">
        <v>9076.4</v>
      </c>
      <c r="D4">
        <f>(D3:D3^2)/(COUNT($B$2:$B$125)-D2)</f>
        <v>6.267387337159285E-3</v>
      </c>
      <c r="E4">
        <f t="shared" ref="E4:M4" si="1">(E3:E3^2)/(COUNT($B$2:$B$125)-E2)</f>
        <v>4.9918283007161736E-3</v>
      </c>
      <c r="F4">
        <f t="shared" si="1"/>
        <v>4.6142711362374463E-3</v>
      </c>
      <c r="G4">
        <f t="shared" si="1"/>
        <v>4.1853823619981178E-3</v>
      </c>
      <c r="H4">
        <f t="shared" si="1"/>
        <v>3.3986538415269859E-3</v>
      </c>
      <c r="I4">
        <f t="shared" si="1"/>
        <v>2.9640195589216265E-3</v>
      </c>
      <c r="J4">
        <f t="shared" si="1"/>
        <v>2.617217784522678E-3</v>
      </c>
      <c r="K4">
        <f t="shared" si="1"/>
        <v>2.41496997665012E-3</v>
      </c>
      <c r="L4">
        <f t="shared" si="1"/>
        <v>2.2741479530761907E-3</v>
      </c>
      <c r="M4">
        <f t="shared" si="1"/>
        <v>1.9341925006370357E-3</v>
      </c>
    </row>
    <row r="5" spans="1:13" x14ac:dyDescent="0.25">
      <c r="A5" t="s">
        <v>44</v>
      </c>
      <c r="B5" s="19">
        <v>8469.7999999999993</v>
      </c>
      <c r="C5" t="s">
        <v>165</v>
      </c>
      <c r="D5">
        <f>COUNT($B$2:$B$125)*(COUNT($B$2:$B$125)+2)*SUM($D$4:D4)</f>
        <v>97.921659755776673</v>
      </c>
      <c r="E5">
        <f>COUNT($B$2:$B$125)*(COUNT($B$2:$B$125)+2)*SUM($D$4:E4)</f>
        <v>175.91398512616615</v>
      </c>
      <c r="F5">
        <f>COUNT($B$2:$B$125)*(COUNT($B$2:$B$125)+2)*SUM($D$4:F4)</f>
        <v>248.00735735874002</v>
      </c>
      <c r="G5">
        <f>COUNT($B$2:$B$125)*(COUNT($B$2:$B$125)+2)*SUM($D$4:G4)</f>
        <v>313.3997713825986</v>
      </c>
      <c r="H5">
        <f>COUNT($B$2:$B$125)*(COUNT($B$2:$B$125)+2)*SUM($D$4:H4)</f>
        <v>366.50033900261622</v>
      </c>
      <c r="I5">
        <f>COUNT($B$2:$B$125)*(COUNT($B$2:$B$125)+2)*SUM($D$4:I4)</f>
        <v>412.81018059120771</v>
      </c>
      <c r="J5">
        <f>COUNT($B$2:$B$125)*(COUNT($B$2:$B$125)+2)*SUM($D$4:J4)</f>
        <v>453.70159125659001</v>
      </c>
      <c r="K5">
        <f>COUNT($B$2:$B$125)*(COUNT($B$2:$B$125)+2)*SUM($D$4:K4)</f>
        <v>491.43308217177145</v>
      </c>
      <c r="L5">
        <f>COUNT($B$2:$B$125)*(COUNT($B$2:$B$125)+2)*SUM($D$4:L4)</f>
        <v>526.9643697906339</v>
      </c>
      <c r="M5">
        <f>COUNT($B$2:$B$125)*(COUNT($B$2:$B$125)+2)*SUM($D$4:M4)</f>
        <v>557.18419342058689</v>
      </c>
    </row>
    <row r="6" spans="1:13" x14ac:dyDescent="0.25">
      <c r="A6" t="s">
        <v>45</v>
      </c>
      <c r="B6" s="19">
        <v>7418.5</v>
      </c>
      <c r="C6" t="s">
        <v>166</v>
      </c>
      <c r="D6">
        <f>QstatLB($D$3:D3,COUNT($B$2:$B$125))</f>
        <v>97.921659755776673</v>
      </c>
      <c r="E6">
        <f>QstatLB($D$3:E3,COUNT($B$2:$B$125))</f>
        <v>175.91398512616615</v>
      </c>
      <c r="F6">
        <f>QstatLB($D$3:F3,COUNT($B$2:$B$125))</f>
        <v>248.00735735874002</v>
      </c>
      <c r="G6">
        <f>QstatLB($D$3:G3,COUNT($B$2:$B$125))</f>
        <v>313.3997713825986</v>
      </c>
      <c r="H6">
        <f>QstatLB($D$3:H3,COUNT($B$2:$B$125))</f>
        <v>366.50033900261622</v>
      </c>
      <c r="I6">
        <f>QstatLB($D$3:I3,COUNT($B$2:$B$125))</f>
        <v>412.81018059120771</v>
      </c>
      <c r="J6">
        <f>QstatLB($D$3:J3,COUNT($B$2:$B$125))</f>
        <v>453.70159125659001</v>
      </c>
      <c r="K6">
        <f>QstatLB($D$3:K3,COUNT($B$2:$B$125))</f>
        <v>491.43308217177145</v>
      </c>
      <c r="L6">
        <f>QstatLB($D$3:L3,COUNT($B$2:$B$125))</f>
        <v>526.9643697906339</v>
      </c>
      <c r="M6">
        <f>QstatLB($D$3:M3,COUNT($B$2:$B$125))</f>
        <v>557.18419342058689</v>
      </c>
    </row>
    <row r="7" spans="1:13" x14ac:dyDescent="0.25">
      <c r="A7" t="s">
        <v>46</v>
      </c>
      <c r="B7" s="19">
        <v>8255.2000000000007</v>
      </c>
    </row>
    <row r="8" spans="1:13" x14ac:dyDescent="0.25">
      <c r="A8" t="s">
        <v>47</v>
      </c>
      <c r="B8" s="19">
        <v>8660.6</v>
      </c>
    </row>
    <row r="9" spans="1:13" x14ac:dyDescent="0.25">
      <c r="A9" t="s">
        <v>48</v>
      </c>
      <c r="B9" s="19">
        <v>9712.6</v>
      </c>
    </row>
    <row r="10" spans="1:13" x14ac:dyDescent="0.25">
      <c r="A10" t="s">
        <v>49</v>
      </c>
      <c r="B10" s="19">
        <v>9760.4</v>
      </c>
    </row>
    <row r="11" spans="1:13" x14ac:dyDescent="0.25">
      <c r="A11" t="s">
        <v>50</v>
      </c>
      <c r="B11" s="19">
        <v>8893.4</v>
      </c>
    </row>
    <row r="12" spans="1:13" x14ac:dyDescent="0.25">
      <c r="A12" t="s">
        <v>51</v>
      </c>
      <c r="B12" s="19">
        <v>10282.799999999999</v>
      </c>
    </row>
    <row r="13" spans="1:13" x14ac:dyDescent="0.25">
      <c r="A13" t="s">
        <v>52</v>
      </c>
      <c r="B13" s="19">
        <v>9786.2000000000007</v>
      </c>
    </row>
    <row r="14" spans="1:13" x14ac:dyDescent="0.25">
      <c r="A14" t="s">
        <v>53</v>
      </c>
      <c r="B14" s="19">
        <v>8806.1</v>
      </c>
    </row>
    <row r="15" spans="1:13" x14ac:dyDescent="0.25">
      <c r="A15" t="s">
        <v>54</v>
      </c>
      <c r="B15" s="19">
        <v>9996.4</v>
      </c>
    </row>
    <row r="16" spans="1:13" x14ac:dyDescent="0.25">
      <c r="A16" t="s">
        <v>55</v>
      </c>
      <c r="B16" s="19">
        <v>9680.4</v>
      </c>
    </row>
    <row r="17" spans="1:2" x14ac:dyDescent="0.25">
      <c r="A17" t="s">
        <v>56</v>
      </c>
      <c r="B17" s="19">
        <v>9667.1</v>
      </c>
    </row>
    <row r="18" spans="1:2" x14ac:dyDescent="0.25">
      <c r="A18" t="s">
        <v>57</v>
      </c>
      <c r="B18" s="19">
        <v>9442.6</v>
      </c>
    </row>
    <row r="19" spans="1:2" x14ac:dyDescent="0.25">
      <c r="A19" t="s">
        <v>58</v>
      </c>
      <c r="B19" s="19">
        <v>9084.4</v>
      </c>
    </row>
    <row r="20" spans="1:2" x14ac:dyDescent="0.25">
      <c r="A20" t="s">
        <v>59</v>
      </c>
      <c r="B20" s="19">
        <v>8902</v>
      </c>
    </row>
    <row r="21" spans="1:2" x14ac:dyDescent="0.25">
      <c r="A21" t="s">
        <v>60</v>
      </c>
      <c r="B21" s="19">
        <v>11281</v>
      </c>
    </row>
    <row r="22" spans="1:2" x14ac:dyDescent="0.25">
      <c r="A22" t="s">
        <v>61</v>
      </c>
      <c r="B22" s="19">
        <v>9783</v>
      </c>
    </row>
    <row r="23" spans="1:2" x14ac:dyDescent="0.25">
      <c r="A23" t="s">
        <v>62</v>
      </c>
      <c r="B23" s="19">
        <v>11667.6</v>
      </c>
    </row>
    <row r="24" spans="1:2" x14ac:dyDescent="0.25">
      <c r="A24" t="s">
        <v>63</v>
      </c>
      <c r="B24" s="19">
        <v>11860.9</v>
      </c>
    </row>
    <row r="25" spans="1:2" x14ac:dyDescent="0.25">
      <c r="A25" t="s">
        <v>64</v>
      </c>
      <c r="B25" s="19">
        <v>11494.2</v>
      </c>
    </row>
    <row r="26" spans="1:2" x14ac:dyDescent="0.25">
      <c r="A26" t="s">
        <v>65</v>
      </c>
      <c r="B26" s="19">
        <v>9336.2999999999993</v>
      </c>
    </row>
    <row r="27" spans="1:2" x14ac:dyDescent="0.25">
      <c r="A27" t="s">
        <v>66</v>
      </c>
      <c r="B27" s="19">
        <v>10638.5</v>
      </c>
    </row>
    <row r="28" spans="1:2" x14ac:dyDescent="0.25">
      <c r="A28" t="s">
        <v>67</v>
      </c>
      <c r="B28" s="19">
        <v>10601.2</v>
      </c>
    </row>
    <row r="29" spans="1:2" x14ac:dyDescent="0.25">
      <c r="A29" t="s">
        <v>68</v>
      </c>
      <c r="B29" s="19">
        <v>11537.5</v>
      </c>
    </row>
    <row r="30" spans="1:2" x14ac:dyDescent="0.25">
      <c r="A30" t="s">
        <v>69</v>
      </c>
      <c r="B30" s="19">
        <v>10608.3</v>
      </c>
    </row>
    <row r="31" spans="1:2" x14ac:dyDescent="0.25">
      <c r="A31" t="s">
        <v>70</v>
      </c>
      <c r="B31" s="19">
        <v>9789.9</v>
      </c>
    </row>
    <row r="32" spans="1:2" x14ac:dyDescent="0.25">
      <c r="A32" t="s">
        <v>71</v>
      </c>
      <c r="B32" s="19">
        <v>11491</v>
      </c>
    </row>
    <row r="33" spans="1:2" x14ac:dyDescent="0.25">
      <c r="A33" t="s">
        <v>72</v>
      </c>
      <c r="B33" s="19">
        <v>12040.6</v>
      </c>
    </row>
    <row r="34" spans="1:2" x14ac:dyDescent="0.25">
      <c r="A34" t="s">
        <v>73</v>
      </c>
      <c r="B34" s="19">
        <v>12412.3</v>
      </c>
    </row>
    <row r="35" spans="1:2" x14ac:dyDescent="0.25">
      <c r="A35" t="s">
        <v>74</v>
      </c>
      <c r="B35" s="19">
        <v>14652.9</v>
      </c>
    </row>
    <row r="36" spans="1:2" x14ac:dyDescent="0.25">
      <c r="A36" t="s">
        <v>75</v>
      </c>
      <c r="B36" s="19">
        <v>15132.5</v>
      </c>
    </row>
    <row r="37" spans="1:2" x14ac:dyDescent="0.25">
      <c r="A37" t="s">
        <v>76</v>
      </c>
      <c r="B37" s="19">
        <v>15365.9</v>
      </c>
    </row>
    <row r="38" spans="1:2" x14ac:dyDescent="0.25">
      <c r="A38" t="s">
        <v>77</v>
      </c>
      <c r="B38" s="19">
        <v>12940.5</v>
      </c>
    </row>
    <row r="39" spans="1:2" x14ac:dyDescent="0.25">
      <c r="A39" t="s">
        <v>78</v>
      </c>
      <c r="B39" s="19">
        <v>12489.3</v>
      </c>
    </row>
    <row r="40" spans="1:2" x14ac:dyDescent="0.25">
      <c r="A40" t="s">
        <v>79</v>
      </c>
      <c r="B40" s="19">
        <v>14754.4</v>
      </c>
    </row>
    <row r="41" spans="1:2" x14ac:dyDescent="0.25">
      <c r="A41" t="s">
        <v>80</v>
      </c>
      <c r="B41" s="19">
        <v>15020.7</v>
      </c>
    </row>
    <row r="42" spans="1:2" x14ac:dyDescent="0.25">
      <c r="A42" t="s">
        <v>81</v>
      </c>
      <c r="B42" s="19">
        <v>15057.7</v>
      </c>
    </row>
    <row r="43" spans="1:2" x14ac:dyDescent="0.25">
      <c r="A43" t="s">
        <v>82</v>
      </c>
      <c r="B43" s="19">
        <v>14544.3</v>
      </c>
    </row>
    <row r="44" spans="1:2" x14ac:dyDescent="0.25">
      <c r="A44" t="s">
        <v>83</v>
      </c>
      <c r="B44" s="19">
        <v>13765.5</v>
      </c>
    </row>
    <row r="45" spans="1:2" x14ac:dyDescent="0.25">
      <c r="A45" t="s">
        <v>84</v>
      </c>
      <c r="B45" s="19">
        <v>13931.8</v>
      </c>
    </row>
    <row r="46" spans="1:2" x14ac:dyDescent="0.25">
      <c r="A46" t="s">
        <v>85</v>
      </c>
      <c r="B46" s="19">
        <v>12812</v>
      </c>
    </row>
    <row r="47" spans="1:2" x14ac:dyDescent="0.25">
      <c r="A47" t="s">
        <v>86</v>
      </c>
      <c r="B47" s="19">
        <v>13713.1</v>
      </c>
    </row>
    <row r="48" spans="1:2" x14ac:dyDescent="0.25">
      <c r="A48" t="s">
        <v>87</v>
      </c>
      <c r="B48" s="19">
        <v>14091.9</v>
      </c>
    </row>
    <row r="49" spans="1:2" x14ac:dyDescent="0.25">
      <c r="A49" t="s">
        <v>88</v>
      </c>
      <c r="B49" s="19">
        <v>16107.8</v>
      </c>
    </row>
    <row r="50" spans="1:2" x14ac:dyDescent="0.25">
      <c r="A50" t="s">
        <v>89</v>
      </c>
      <c r="B50" s="19">
        <v>11855</v>
      </c>
    </row>
    <row r="51" spans="1:2" x14ac:dyDescent="0.25">
      <c r="A51" t="s">
        <v>90</v>
      </c>
      <c r="B51" s="19">
        <v>11827.3</v>
      </c>
    </row>
    <row r="52" spans="1:2" x14ac:dyDescent="0.25">
      <c r="A52" t="s">
        <v>91</v>
      </c>
      <c r="B52" s="19">
        <v>11907.5</v>
      </c>
    </row>
    <row r="53" spans="1:2" x14ac:dyDescent="0.25">
      <c r="A53" t="s">
        <v>92</v>
      </c>
      <c r="B53" s="19">
        <v>11850.2</v>
      </c>
    </row>
    <row r="54" spans="1:2" x14ac:dyDescent="0.25">
      <c r="A54" t="s">
        <v>93</v>
      </c>
      <c r="B54" s="19">
        <v>10881</v>
      </c>
    </row>
    <row r="55" spans="1:2" x14ac:dyDescent="0.25">
      <c r="A55" t="s">
        <v>94</v>
      </c>
      <c r="B55" s="19">
        <v>9766.6</v>
      </c>
    </row>
    <row r="56" spans="1:2" x14ac:dyDescent="0.25">
      <c r="A56" t="s">
        <v>95</v>
      </c>
      <c r="B56" s="19">
        <v>11185.3</v>
      </c>
    </row>
    <row r="57" spans="1:2" x14ac:dyDescent="0.25">
      <c r="A57" t="s">
        <v>96</v>
      </c>
      <c r="B57" s="19">
        <v>9998.9</v>
      </c>
    </row>
    <row r="58" spans="1:2" x14ac:dyDescent="0.25">
      <c r="A58" t="s">
        <v>97</v>
      </c>
      <c r="B58" s="19">
        <v>11229.7</v>
      </c>
    </row>
    <row r="59" spans="1:2" x14ac:dyDescent="0.25">
      <c r="A59" t="s">
        <v>98</v>
      </c>
      <c r="B59" s="19">
        <v>11523.5</v>
      </c>
    </row>
    <row r="60" spans="1:2" x14ac:dyDescent="0.25">
      <c r="A60" t="s">
        <v>99</v>
      </c>
      <c r="B60" s="19">
        <v>11181.6</v>
      </c>
    </row>
    <row r="61" spans="1:2" x14ac:dyDescent="0.25">
      <c r="A61" t="s">
        <v>100</v>
      </c>
      <c r="B61" s="19">
        <v>11301.6</v>
      </c>
    </row>
    <row r="62" spans="1:2" x14ac:dyDescent="0.25">
      <c r="A62" t="s">
        <v>101</v>
      </c>
      <c r="B62" s="19">
        <v>8237.6</v>
      </c>
    </row>
    <row r="63" spans="1:2" x14ac:dyDescent="0.25">
      <c r="A63" t="s">
        <v>102</v>
      </c>
      <c r="B63" s="19">
        <v>9108.4</v>
      </c>
    </row>
    <row r="64" spans="1:2" x14ac:dyDescent="0.25">
      <c r="A64" t="s">
        <v>103</v>
      </c>
      <c r="B64" s="19">
        <v>9725.2000000000007</v>
      </c>
    </row>
    <row r="65" spans="1:2" x14ac:dyDescent="0.25">
      <c r="A65" t="s">
        <v>104</v>
      </c>
      <c r="B65" s="19">
        <v>8962.7999999999993</v>
      </c>
    </row>
    <row r="66" spans="1:2" x14ac:dyDescent="0.25">
      <c r="A66" t="s">
        <v>105</v>
      </c>
      <c r="B66" s="19">
        <v>8981.1</v>
      </c>
    </row>
    <row r="67" spans="1:2" x14ac:dyDescent="0.25">
      <c r="A67" t="s">
        <v>106</v>
      </c>
      <c r="B67" s="19">
        <v>10257.9</v>
      </c>
    </row>
    <row r="68" spans="1:2" x14ac:dyDescent="0.25">
      <c r="A68" t="s">
        <v>107</v>
      </c>
      <c r="B68" s="19">
        <v>11743.3</v>
      </c>
    </row>
    <row r="69" spans="1:2" x14ac:dyDescent="0.25">
      <c r="A69" t="s">
        <v>108</v>
      </c>
      <c r="B69" s="19">
        <v>12541.3</v>
      </c>
    </row>
    <row r="70" spans="1:2" x14ac:dyDescent="0.25">
      <c r="A70" t="s">
        <v>109</v>
      </c>
      <c r="B70" s="19">
        <v>11281.4</v>
      </c>
    </row>
    <row r="71" spans="1:2" x14ac:dyDescent="0.25">
      <c r="A71" t="s">
        <v>110</v>
      </c>
      <c r="B71" s="19">
        <v>12007.2</v>
      </c>
    </row>
    <row r="72" spans="1:2" x14ac:dyDescent="0.25">
      <c r="A72" t="s">
        <v>111</v>
      </c>
      <c r="B72" s="19">
        <v>12300.4</v>
      </c>
    </row>
    <row r="73" spans="1:2" x14ac:dyDescent="0.25">
      <c r="A73" t="s">
        <v>112</v>
      </c>
      <c r="B73" s="19">
        <v>13360.6</v>
      </c>
    </row>
    <row r="74" spans="1:2" x14ac:dyDescent="0.25">
      <c r="A74" t="s">
        <v>113</v>
      </c>
      <c r="B74" s="19">
        <v>10673.5</v>
      </c>
    </row>
    <row r="75" spans="1:2" x14ac:dyDescent="0.25">
      <c r="A75" t="s">
        <v>114</v>
      </c>
      <c r="B75" s="19">
        <v>12122.2</v>
      </c>
    </row>
    <row r="76" spans="1:2" x14ac:dyDescent="0.25">
      <c r="A76" t="s">
        <v>115</v>
      </c>
      <c r="B76" s="19">
        <v>14702.2</v>
      </c>
    </row>
    <row r="77" spans="1:2" x14ac:dyDescent="0.25">
      <c r="A77" t="s">
        <v>116</v>
      </c>
      <c r="B77" s="19">
        <v>12803.2</v>
      </c>
    </row>
    <row r="78" spans="1:2" x14ac:dyDescent="0.25">
      <c r="A78" t="s">
        <v>117</v>
      </c>
      <c r="B78" s="19">
        <v>11419.3</v>
      </c>
    </row>
    <row r="79" spans="1:2" x14ac:dyDescent="0.25">
      <c r="A79" t="s">
        <v>118</v>
      </c>
      <c r="B79" s="19">
        <v>13603.2</v>
      </c>
    </row>
    <row r="80" spans="1:2" x14ac:dyDescent="0.25">
      <c r="A80" t="s">
        <v>119</v>
      </c>
      <c r="B80" s="19">
        <v>13392</v>
      </c>
    </row>
    <row r="81" spans="1:2" x14ac:dyDescent="0.25">
      <c r="A81" t="s">
        <v>120</v>
      </c>
      <c r="B81" s="19">
        <v>16067.6</v>
      </c>
    </row>
    <row r="82" spans="1:2" x14ac:dyDescent="0.25">
      <c r="A82" t="s">
        <v>121</v>
      </c>
      <c r="B82" s="19">
        <v>16240.5</v>
      </c>
    </row>
    <row r="83" spans="1:2" x14ac:dyDescent="0.25">
      <c r="A83" t="s">
        <v>122</v>
      </c>
      <c r="B83" s="19">
        <v>17150</v>
      </c>
    </row>
    <row r="84" spans="1:2" x14ac:dyDescent="0.25">
      <c r="A84" t="s">
        <v>123</v>
      </c>
      <c r="B84" s="19">
        <v>16835</v>
      </c>
    </row>
    <row r="85" spans="1:2" x14ac:dyDescent="0.25">
      <c r="A85" t="s">
        <v>124</v>
      </c>
      <c r="B85" s="19">
        <v>15084</v>
      </c>
    </row>
    <row r="86" spans="1:2" x14ac:dyDescent="0.25">
      <c r="A86" t="s">
        <v>125</v>
      </c>
      <c r="B86" s="19">
        <v>15229.7</v>
      </c>
    </row>
    <row r="87" spans="1:2" x14ac:dyDescent="0.25">
      <c r="A87" t="s">
        <v>126</v>
      </c>
      <c r="B87" s="19">
        <v>16016.2</v>
      </c>
    </row>
    <row r="88" spans="1:2" x14ac:dyDescent="0.25">
      <c r="A88" t="s">
        <v>127</v>
      </c>
      <c r="B88" s="19">
        <v>17840</v>
      </c>
    </row>
    <row r="89" spans="1:2" x14ac:dyDescent="0.25">
      <c r="A89" t="s">
        <v>128</v>
      </c>
      <c r="B89" s="19">
        <v>17292.7</v>
      </c>
    </row>
    <row r="90" spans="1:2" x14ac:dyDescent="0.25">
      <c r="A90" t="s">
        <v>129</v>
      </c>
      <c r="B90" s="19">
        <v>16139.8</v>
      </c>
    </row>
    <row r="91" spans="1:2" x14ac:dyDescent="0.25">
      <c r="A91" t="s">
        <v>130</v>
      </c>
      <c r="B91" s="19">
        <v>16500.8</v>
      </c>
    </row>
    <row r="92" spans="1:2" x14ac:dyDescent="0.25">
      <c r="A92" t="s">
        <v>131</v>
      </c>
      <c r="B92" s="19">
        <v>16857.599999999999</v>
      </c>
    </row>
    <row r="93" spans="1:2" x14ac:dyDescent="0.25">
      <c r="A93" t="s">
        <v>132</v>
      </c>
      <c r="B93" s="19">
        <v>17987.900000000001</v>
      </c>
    </row>
    <row r="94" spans="1:2" x14ac:dyDescent="0.25">
      <c r="A94" t="s">
        <v>133</v>
      </c>
      <c r="B94" s="19">
        <v>16740.099999999999</v>
      </c>
    </row>
    <row r="95" spans="1:2" x14ac:dyDescent="0.25">
      <c r="A95" t="s">
        <v>134</v>
      </c>
      <c r="B95" s="19">
        <v>19228.599999999999</v>
      </c>
    </row>
    <row r="96" spans="1:2" x14ac:dyDescent="0.25">
      <c r="A96" t="s">
        <v>135</v>
      </c>
      <c r="B96" s="19">
        <v>19954.599999999999</v>
      </c>
    </row>
    <row r="97" spans="1:2" x14ac:dyDescent="0.25">
      <c r="A97" t="s">
        <v>136</v>
      </c>
      <c r="B97" s="19">
        <v>18427.900000000001</v>
      </c>
    </row>
    <row r="98" spans="1:2" x14ac:dyDescent="0.25">
      <c r="A98" t="s">
        <v>137</v>
      </c>
      <c r="B98" s="19">
        <v>16727.400000000001</v>
      </c>
    </row>
    <row r="99" spans="1:2" x14ac:dyDescent="0.25">
      <c r="A99" t="s">
        <v>138</v>
      </c>
      <c r="B99" s="19">
        <v>15751.7</v>
      </c>
    </row>
    <row r="100" spans="1:2" x14ac:dyDescent="0.25">
      <c r="A100" t="s">
        <v>139</v>
      </c>
      <c r="B100" s="19">
        <v>15795.8</v>
      </c>
    </row>
    <row r="101" spans="1:2" x14ac:dyDescent="0.25">
      <c r="A101" t="s">
        <v>140</v>
      </c>
      <c r="B101" s="19">
        <v>17234.5</v>
      </c>
    </row>
    <row r="102" spans="1:2" x14ac:dyDescent="0.25">
      <c r="A102" t="s">
        <v>141</v>
      </c>
      <c r="B102" s="19">
        <v>18420</v>
      </c>
    </row>
    <row r="103" spans="1:2" x14ac:dyDescent="0.25">
      <c r="A103" t="s">
        <v>142</v>
      </c>
      <c r="B103" s="19">
        <v>15621.3</v>
      </c>
    </row>
    <row r="104" spans="1:2" x14ac:dyDescent="0.25">
      <c r="A104" t="s">
        <v>143</v>
      </c>
      <c r="B104" s="19">
        <v>18289.5</v>
      </c>
    </row>
    <row r="105" spans="1:2" x14ac:dyDescent="0.25">
      <c r="A105" t="s">
        <v>144</v>
      </c>
      <c r="B105" s="19">
        <v>19294.400000000001</v>
      </c>
    </row>
    <row r="106" spans="1:2" x14ac:dyDescent="0.25">
      <c r="A106" t="s">
        <v>145</v>
      </c>
      <c r="B106" s="19">
        <v>17883</v>
      </c>
    </row>
    <row r="107" spans="1:2" x14ac:dyDescent="0.25">
      <c r="A107" t="s">
        <v>146</v>
      </c>
      <c r="B107" s="19">
        <v>20078.2</v>
      </c>
    </row>
    <row r="108" spans="1:2" x14ac:dyDescent="0.25">
      <c r="A108" t="s">
        <v>147</v>
      </c>
      <c r="B108" s="19">
        <v>20730.400000000001</v>
      </c>
    </row>
    <row r="109" spans="1:2" x14ac:dyDescent="0.25">
      <c r="A109" t="s">
        <v>148</v>
      </c>
      <c r="B109" s="19">
        <v>18578.3</v>
      </c>
    </row>
    <row r="110" spans="1:2" x14ac:dyDescent="0.25">
      <c r="A110" t="s">
        <v>149</v>
      </c>
      <c r="B110" s="19">
        <v>17691.8</v>
      </c>
    </row>
    <row r="111" spans="1:2" x14ac:dyDescent="0.25">
      <c r="A111" t="s">
        <v>150</v>
      </c>
      <c r="B111" s="19">
        <v>17340.400000000001</v>
      </c>
    </row>
    <row r="112" spans="1:2" x14ac:dyDescent="0.25">
      <c r="A112" t="s">
        <v>151</v>
      </c>
      <c r="B112" s="19">
        <v>16086.5</v>
      </c>
    </row>
    <row r="113" spans="1:2" x14ac:dyDescent="0.25">
      <c r="A113" t="s">
        <v>152</v>
      </c>
      <c r="B113" s="19">
        <v>9711.7000000000007</v>
      </c>
    </row>
    <row r="114" spans="1:2" x14ac:dyDescent="0.25">
      <c r="A114" t="s">
        <v>153</v>
      </c>
      <c r="B114" s="19">
        <v>12237</v>
      </c>
    </row>
    <row r="115" spans="1:2" x14ac:dyDescent="0.25">
      <c r="A115" t="s">
        <v>154</v>
      </c>
      <c r="B115" s="19">
        <v>20110.900000000001</v>
      </c>
    </row>
    <row r="116" spans="1:2" x14ac:dyDescent="0.25">
      <c r="A116" t="s">
        <v>155</v>
      </c>
      <c r="B116" s="19">
        <v>21855.7</v>
      </c>
    </row>
    <row r="117" spans="1:2" x14ac:dyDescent="0.25">
      <c r="A117" t="s">
        <v>156</v>
      </c>
      <c r="B117" s="19">
        <v>20645</v>
      </c>
    </row>
    <row r="118" spans="1:2" x14ac:dyDescent="0.25">
      <c r="A118" t="s">
        <v>157</v>
      </c>
      <c r="B118" s="19">
        <v>21756.1</v>
      </c>
    </row>
    <row r="119" spans="1:2" x14ac:dyDescent="0.25">
      <c r="A119" t="s">
        <v>158</v>
      </c>
      <c r="B119" s="19">
        <v>23350.9</v>
      </c>
    </row>
    <row r="120" spans="1:2" x14ac:dyDescent="0.25">
      <c r="A120" t="s">
        <v>159</v>
      </c>
      <c r="B120" s="19">
        <v>21938.1</v>
      </c>
    </row>
    <row r="121" spans="1:2" x14ac:dyDescent="0.25">
      <c r="A121" t="s">
        <v>160</v>
      </c>
      <c r="B121" s="19">
        <v>25873.1</v>
      </c>
    </row>
    <row r="122" spans="1:2" x14ac:dyDescent="0.25">
      <c r="A122" t="s">
        <v>161</v>
      </c>
      <c r="B122" s="19">
        <v>20848.7</v>
      </c>
    </row>
    <row r="123" spans="1:2" x14ac:dyDescent="0.25">
      <c r="A123" t="s">
        <v>162</v>
      </c>
      <c r="B123" s="19">
        <v>20517.2</v>
      </c>
    </row>
    <row r="124" spans="1:2" x14ac:dyDescent="0.25">
      <c r="A124" t="s">
        <v>163</v>
      </c>
      <c r="B124" s="19">
        <v>24062.7</v>
      </c>
    </row>
    <row r="125" spans="1:2" x14ac:dyDescent="0.25">
      <c r="A125" t="s">
        <v>164</v>
      </c>
      <c r="B125" s="19">
        <v>24341.5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reshape</vt:lpstr>
      <vt:lpstr>forecast_error</vt:lpstr>
      <vt:lpstr>GoldfildQand</vt:lpstr>
      <vt:lpstr>forecast_error_multiple</vt:lpstr>
      <vt:lpstr>aurocorrelation</vt:lpstr>
      <vt:lpstr>q stat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2021-07-08T08:58:02Z</dcterms:modified>
</cp:coreProperties>
</file>